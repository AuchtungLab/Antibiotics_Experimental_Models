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iferauchtung/Library/Mobile Documents/com~apple~CloudDocs/Documents/Professional/CDC/Analysis/MBRA_Analysis_Files/DIFFERENTIAL_ANALYSIS_OUTPUT_MBRA/"/>
    </mc:Choice>
  </mc:AlternateContent>
  <xr:revisionPtr revIDLastSave="0" documentId="13_ncr:1_{7D7D2F60-0807-4D4B-AF91-715045A913AB}" xr6:coauthVersionLast="45" xr6:coauthVersionMax="45" xr10:uidLastSave="{00000000-0000-0000-0000-000000000000}"/>
  <bookViews>
    <workbookView xWindow="7100" yWindow="6180" windowWidth="26840" windowHeight="15940" xr2:uid="{14354930-9769-A540-90AC-7565C281B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3" i="1" l="1"/>
  <c r="H23" i="1"/>
  <c r="I22" i="1"/>
  <c r="H22" i="1"/>
  <c r="I21" i="1"/>
  <c r="H21" i="1"/>
  <c r="I20" i="1"/>
  <c r="H20" i="1"/>
  <c r="I19" i="1"/>
  <c r="H19" i="1"/>
  <c r="I18" i="1"/>
  <c r="H18" i="1"/>
  <c r="D23" i="1" l="1"/>
  <c r="D22" i="1"/>
  <c r="D21" i="1"/>
  <c r="D20" i="1"/>
  <c r="D19" i="1"/>
  <c r="D18" i="1"/>
  <c r="C23" i="1"/>
  <c r="C22" i="1"/>
  <c r="C21" i="1"/>
  <c r="C20" i="1"/>
  <c r="C19" i="1"/>
  <c r="C18" i="1"/>
  <c r="I14" i="1"/>
  <c r="I13" i="1"/>
  <c r="I12" i="1"/>
  <c r="I11" i="1"/>
  <c r="I10" i="1"/>
  <c r="I9" i="1"/>
  <c r="I8" i="1"/>
  <c r="I7" i="1"/>
  <c r="I6" i="1"/>
  <c r="I5" i="1"/>
  <c r="I4" i="1"/>
  <c r="I3" i="1"/>
  <c r="H3" i="1"/>
  <c r="H14" i="1"/>
  <c r="H13" i="1"/>
  <c r="H12" i="1"/>
  <c r="H11" i="1"/>
  <c r="H10" i="1"/>
  <c r="H9" i="1"/>
  <c r="H8" i="1"/>
  <c r="H7" i="1"/>
  <c r="H6" i="1"/>
  <c r="H5" i="1"/>
  <c r="H4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D5" i="1"/>
  <c r="D4" i="1"/>
  <c r="D3" i="1"/>
  <c r="C6" i="1"/>
  <c r="C5" i="1"/>
  <c r="C4" i="1"/>
  <c r="C3" i="1"/>
</calcChain>
</file>

<file path=xl/sharedStrings.xml><?xml version="1.0" encoding="utf-8"?>
<sst xmlns="http://schemas.openxmlformats.org/spreadsheetml/2006/main" count="60" uniqueCount="22">
  <si>
    <t>low confidence</t>
  </si>
  <si>
    <t>high confidence</t>
  </si>
  <si>
    <t>Ceftriaxone</t>
  </si>
  <si>
    <t>Augmentin</t>
  </si>
  <si>
    <t>Azithromycin</t>
  </si>
  <si>
    <t>Cefaclor</t>
  </si>
  <si>
    <t>Cipro</t>
  </si>
  <si>
    <t>Clinda</t>
  </si>
  <si>
    <t>Doxy</t>
  </si>
  <si>
    <t>Fid</t>
  </si>
  <si>
    <t>Imi</t>
  </si>
  <si>
    <t>Metro</t>
  </si>
  <si>
    <t>Vanco</t>
  </si>
  <si>
    <t>Sulfa</t>
  </si>
  <si>
    <t>MBRA Genus</t>
  </si>
  <si>
    <t>MBRA OTU</t>
  </si>
  <si>
    <t>Observed OTUs</t>
  </si>
  <si>
    <t>Sig genera</t>
  </si>
  <si>
    <t>Sig OTUs</t>
  </si>
  <si>
    <t>Treatment</t>
  </si>
  <si>
    <t>Mouse Genus</t>
  </si>
  <si>
    <t>Mouse 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</si>
</sst>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4E78-0953-6B4A-948A-CF52EA9D1FED}">
  <dimension ref="A1:J23"/>
  <sheetViews>
    <sheetView tabSelected="1" workbookViewId="0">
      <selection activeCell="H18" sqref="H18:I23"/>
    </sheetView>
  </sheetViews>
  <sheetFormatPr baseColWidth="10" defaultRowHeight="16"/>
  <cols>
    <col min="1" max="1" width="12" bestFit="1" customWidth="1"/>
    <col min="2" max="2" width="9.83203125" bestFit="1" customWidth="1"/>
    <col min="3" max="3" width="13.5" bestFit="1" customWidth="1"/>
    <col min="4" max="4" width="14" bestFit="1" customWidth="1"/>
    <col min="5" max="5" width="13.83203125" bestFit="1" customWidth="1"/>
    <col min="6" max="6" width="11.83203125" bestFit="1" customWidth="1"/>
    <col min="7" max="7" width="8.6640625" bestFit="1" customWidth="1"/>
    <col min="8" max="8" width="13.5" bestFit="1" customWidth="1"/>
    <col min="9" max="9" width="14" bestFit="1" customWidth="1"/>
    <col min="10" max="10" width="13.83203125" bestFit="1" customWidth="1"/>
  </cols>
  <sheetData>
    <row r="1" spans="1:10">
      <c r="A1" t="s">
        <v>14</v>
      </c>
      <c r="F1" t="s">
        <v>15</v>
      </c>
    </row>
    <row r="2" spans="1:10">
      <c r="A2" s="1" t="s">
        <v>19</v>
      </c>
      <c r="B2" s="1" t="s">
        <v>17</v>
      </c>
      <c r="C2" s="1" t="s">
        <v>0</v>
      </c>
      <c r="D2" s="1" t="s">
        <v>1</v>
      </c>
      <c r="E2" s="1" t="s">
        <v>16</v>
      </c>
      <c r="F2" s="1" t="s">
        <v>19</v>
      </c>
      <c r="G2" s="1" t="s">
        <v>18</v>
      </c>
      <c r="H2" s="1" t="s">
        <v>0</v>
      </c>
      <c r="I2" s="1" t="s">
        <v>1</v>
      </c>
      <c r="J2" s="1" t="s">
        <v>16</v>
      </c>
    </row>
    <row r="3" spans="1:10">
      <c r="A3" s="2" t="s">
        <v>3</v>
      </c>
      <c r="B3" s="3">
        <v>8</v>
      </c>
      <c r="C3" s="1">
        <f>-2.392*B3+128</f>
        <v>108.864</v>
      </c>
      <c r="D3" s="1">
        <f>-0.4619*B3+128</f>
        <v>124.3048</v>
      </c>
      <c r="E3" s="3">
        <v>113.9</v>
      </c>
      <c r="F3" s="2" t="s">
        <v>3</v>
      </c>
      <c r="G3" s="3">
        <v>8</v>
      </c>
      <c r="H3" s="1">
        <f>-1.393*G3+120.7</f>
        <v>109.556</v>
      </c>
      <c r="I3" s="1">
        <f>-0.3678*G3+120.7</f>
        <v>117.7576</v>
      </c>
      <c r="J3" s="3">
        <v>113.9</v>
      </c>
    </row>
    <row r="4" spans="1:10">
      <c r="A4" s="2" t="s">
        <v>4</v>
      </c>
      <c r="B4" s="3">
        <v>2</v>
      </c>
      <c r="C4" s="1">
        <f t="shared" ref="C4:C14" si="0">-2.392*B4+128</f>
        <v>123.21599999999999</v>
      </c>
      <c r="D4" s="1">
        <f t="shared" ref="D4:D6" si="1">-0.4619*B4+128</f>
        <v>127.0762</v>
      </c>
      <c r="E4" s="3">
        <v>123.6</v>
      </c>
      <c r="F4" s="2" t="s">
        <v>4</v>
      </c>
      <c r="G4" s="3">
        <v>3</v>
      </c>
      <c r="H4" s="1">
        <f t="shared" ref="H4:H14" si="2">-1.393*G4+120.7</f>
        <v>116.521</v>
      </c>
      <c r="I4" s="1">
        <f t="shared" ref="I4:I14" si="3">-0.3678*G4+120.7</f>
        <v>119.59660000000001</v>
      </c>
      <c r="J4" s="4">
        <v>123.6</v>
      </c>
    </row>
    <row r="5" spans="1:10">
      <c r="A5" s="2" t="s">
        <v>5</v>
      </c>
      <c r="B5" s="3">
        <v>6</v>
      </c>
      <c r="C5" s="1">
        <f t="shared" si="0"/>
        <v>113.648</v>
      </c>
      <c r="D5" s="1">
        <f t="shared" si="1"/>
        <v>125.2286</v>
      </c>
      <c r="E5" s="3">
        <v>121.2</v>
      </c>
      <c r="F5" s="2" t="s">
        <v>5</v>
      </c>
      <c r="G5" s="3">
        <v>3</v>
      </c>
      <c r="H5" s="1">
        <f t="shared" si="2"/>
        <v>116.521</v>
      </c>
      <c r="I5" s="1">
        <f t="shared" si="3"/>
        <v>119.59660000000001</v>
      </c>
      <c r="J5" s="5">
        <v>121.2</v>
      </c>
    </row>
    <row r="6" spans="1:10">
      <c r="A6" s="2" t="s">
        <v>2</v>
      </c>
      <c r="B6" s="3">
        <v>27</v>
      </c>
      <c r="C6" s="1">
        <f t="shared" si="0"/>
        <v>63.415999999999997</v>
      </c>
      <c r="D6" s="1">
        <f t="shared" si="1"/>
        <v>115.5287</v>
      </c>
      <c r="E6" s="3">
        <v>108.5</v>
      </c>
      <c r="F6" s="2" t="s">
        <v>2</v>
      </c>
      <c r="G6" s="3">
        <v>13</v>
      </c>
      <c r="H6" s="1">
        <f t="shared" si="2"/>
        <v>102.59100000000001</v>
      </c>
      <c r="I6" s="1">
        <f t="shared" si="3"/>
        <v>115.9186</v>
      </c>
      <c r="J6" s="3">
        <v>108.5</v>
      </c>
    </row>
    <row r="7" spans="1:10">
      <c r="A7" s="2" t="s">
        <v>6</v>
      </c>
      <c r="B7" s="3">
        <v>24</v>
      </c>
      <c r="C7" s="1">
        <f t="shared" si="0"/>
        <v>70.591999999999999</v>
      </c>
      <c r="D7" s="1">
        <f t="shared" ref="D7:D14" si="4">-0.4619*B7+128</f>
        <v>116.9144</v>
      </c>
      <c r="E7" s="3">
        <v>98.96</v>
      </c>
      <c r="F7" s="2" t="s">
        <v>6</v>
      </c>
      <c r="G7" s="3">
        <v>10</v>
      </c>
      <c r="H7" s="1">
        <f t="shared" si="2"/>
        <v>106.77000000000001</v>
      </c>
      <c r="I7" s="1">
        <f t="shared" si="3"/>
        <v>117.02200000000001</v>
      </c>
      <c r="J7" s="5">
        <v>98.96</v>
      </c>
    </row>
    <row r="8" spans="1:10">
      <c r="A8" s="2" t="s">
        <v>7</v>
      </c>
      <c r="B8" s="3">
        <v>13</v>
      </c>
      <c r="C8" s="1">
        <f t="shared" si="0"/>
        <v>96.903999999999996</v>
      </c>
      <c r="D8" s="1">
        <f t="shared" si="4"/>
        <v>121.9953</v>
      </c>
      <c r="E8" s="3">
        <v>104.4</v>
      </c>
      <c r="F8" s="2" t="s">
        <v>7</v>
      </c>
      <c r="G8" s="3">
        <v>11</v>
      </c>
      <c r="H8" s="1">
        <f t="shared" si="2"/>
        <v>105.37700000000001</v>
      </c>
      <c r="I8" s="1">
        <f t="shared" si="3"/>
        <v>116.6542</v>
      </c>
      <c r="J8" s="5">
        <v>104.4</v>
      </c>
    </row>
    <row r="9" spans="1:10">
      <c r="A9" s="2" t="s">
        <v>8</v>
      </c>
      <c r="B9" s="3">
        <v>6</v>
      </c>
      <c r="C9" s="1">
        <f t="shared" si="0"/>
        <v>113.648</v>
      </c>
      <c r="D9" s="1">
        <f t="shared" si="4"/>
        <v>125.2286</v>
      </c>
      <c r="E9" s="3">
        <v>110.4</v>
      </c>
      <c r="F9" s="2" t="s">
        <v>8</v>
      </c>
      <c r="G9" s="3">
        <v>5</v>
      </c>
      <c r="H9" s="1">
        <f t="shared" si="2"/>
        <v>113.735</v>
      </c>
      <c r="I9" s="1">
        <f t="shared" si="3"/>
        <v>118.861</v>
      </c>
      <c r="J9" s="3">
        <v>110.4</v>
      </c>
    </row>
    <row r="10" spans="1:10">
      <c r="A10" s="2" t="s">
        <v>9</v>
      </c>
      <c r="B10" s="3">
        <v>16</v>
      </c>
      <c r="C10" s="1">
        <f t="shared" si="0"/>
        <v>89.728000000000009</v>
      </c>
      <c r="D10" s="1">
        <f t="shared" si="4"/>
        <v>120.6096</v>
      </c>
      <c r="E10" s="5">
        <v>120.9</v>
      </c>
      <c r="F10" s="2" t="s">
        <v>9</v>
      </c>
      <c r="G10" s="3">
        <v>3</v>
      </c>
      <c r="H10" s="1">
        <f t="shared" si="2"/>
        <v>116.521</v>
      </c>
      <c r="I10" s="1">
        <f t="shared" si="3"/>
        <v>119.59660000000001</v>
      </c>
      <c r="J10" s="5">
        <v>120.9</v>
      </c>
    </row>
    <row r="11" spans="1:10">
      <c r="A11" s="2" t="s">
        <v>10</v>
      </c>
      <c r="B11" s="3">
        <v>22</v>
      </c>
      <c r="C11" s="1">
        <f t="shared" si="0"/>
        <v>75.376000000000005</v>
      </c>
      <c r="D11" s="1">
        <f t="shared" si="4"/>
        <v>117.8382</v>
      </c>
      <c r="E11" s="3">
        <v>99</v>
      </c>
      <c r="F11" s="2" t="s">
        <v>10</v>
      </c>
      <c r="G11" s="3">
        <v>21</v>
      </c>
      <c r="H11" s="1">
        <f t="shared" si="2"/>
        <v>91.447000000000003</v>
      </c>
      <c r="I11" s="1">
        <f t="shared" si="3"/>
        <v>112.97620000000001</v>
      </c>
      <c r="J11" s="3">
        <v>99</v>
      </c>
    </row>
    <row r="12" spans="1:10">
      <c r="A12" s="2" t="s">
        <v>11</v>
      </c>
      <c r="B12" s="3">
        <v>23</v>
      </c>
      <c r="C12" s="1">
        <f t="shared" si="0"/>
        <v>72.984000000000009</v>
      </c>
      <c r="D12" s="1">
        <f t="shared" si="4"/>
        <v>117.3763</v>
      </c>
      <c r="E12" s="5">
        <v>69.17</v>
      </c>
      <c r="F12" s="2" t="s">
        <v>11</v>
      </c>
      <c r="G12" s="3">
        <v>35</v>
      </c>
      <c r="H12" s="1">
        <f t="shared" si="2"/>
        <v>71.944999999999993</v>
      </c>
      <c r="I12" s="1">
        <f t="shared" si="3"/>
        <v>107.827</v>
      </c>
      <c r="J12" s="5">
        <v>69.17</v>
      </c>
    </row>
    <row r="13" spans="1:10">
      <c r="A13" s="2" t="s">
        <v>12</v>
      </c>
      <c r="B13" s="3">
        <v>17</v>
      </c>
      <c r="C13" s="1">
        <f t="shared" si="0"/>
        <v>87.335999999999999</v>
      </c>
      <c r="D13" s="1">
        <f t="shared" si="4"/>
        <v>120.1477</v>
      </c>
      <c r="E13" s="3">
        <v>91.67</v>
      </c>
      <c r="F13" s="2" t="s">
        <v>12</v>
      </c>
      <c r="G13" s="3">
        <v>54</v>
      </c>
      <c r="H13" s="1">
        <f t="shared" si="2"/>
        <v>45.478000000000009</v>
      </c>
      <c r="I13" s="1">
        <f t="shared" si="3"/>
        <v>100.83880000000001</v>
      </c>
      <c r="J13" s="3">
        <v>91.67</v>
      </c>
    </row>
    <row r="14" spans="1:10">
      <c r="A14" s="2" t="s">
        <v>13</v>
      </c>
      <c r="B14" s="3">
        <v>0</v>
      </c>
      <c r="C14" s="1">
        <f t="shared" si="0"/>
        <v>128</v>
      </c>
      <c r="D14" s="1">
        <f t="shared" si="4"/>
        <v>128</v>
      </c>
      <c r="E14" s="3">
        <v>140.69999999999999</v>
      </c>
      <c r="F14" s="2" t="s">
        <v>13</v>
      </c>
      <c r="G14" s="3">
        <v>0</v>
      </c>
      <c r="H14" s="1">
        <f t="shared" si="2"/>
        <v>120.7</v>
      </c>
      <c r="I14" s="1">
        <f t="shared" si="3"/>
        <v>120.7</v>
      </c>
      <c r="J14" s="3">
        <v>140.69999999999999</v>
      </c>
    </row>
    <row r="16" spans="1:10">
      <c r="A16" t="s">
        <v>20</v>
      </c>
      <c r="F16" t="s">
        <v>21</v>
      </c>
    </row>
    <row r="17" spans="1:10">
      <c r="A17" s="1" t="s">
        <v>19</v>
      </c>
      <c r="B17" s="1" t="s">
        <v>17</v>
      </c>
      <c r="C17" s="1" t="s">
        <v>0</v>
      </c>
      <c r="D17" s="1" t="s">
        <v>1</v>
      </c>
      <c r="E17" s="1" t="s">
        <v>16</v>
      </c>
      <c r="F17" s="1" t="s">
        <v>19</v>
      </c>
      <c r="G17" s="1" t="s">
        <v>18</v>
      </c>
      <c r="H17" s="1" t="s">
        <v>0</v>
      </c>
      <c r="I17" s="1" t="s">
        <v>1</v>
      </c>
      <c r="J17" s="1" t="s">
        <v>16</v>
      </c>
    </row>
    <row r="18" spans="1:10">
      <c r="A18" s="2" t="s">
        <v>3</v>
      </c>
      <c r="B18" s="3">
        <v>2</v>
      </c>
      <c r="C18" s="1">
        <f>-1.887*B18+158.9</f>
        <v>155.126</v>
      </c>
      <c r="D18" s="1">
        <f>-0.4479*B18+158.9</f>
        <v>158.0042</v>
      </c>
      <c r="E18" s="3">
        <v>139.80000000000001</v>
      </c>
      <c r="F18" s="2" t="s">
        <v>3</v>
      </c>
      <c r="G18" s="3">
        <v>13</v>
      </c>
      <c r="H18" s="1">
        <f>-1.093*G18+161.9</f>
        <v>147.691</v>
      </c>
      <c r="I18" s="1">
        <f>-0.1612*G18+161.9</f>
        <v>159.80440000000002</v>
      </c>
      <c r="J18" s="3">
        <v>139.80000000000001</v>
      </c>
    </row>
    <row r="19" spans="1:10">
      <c r="A19" s="2" t="s">
        <v>4</v>
      </c>
      <c r="B19" s="3">
        <v>46</v>
      </c>
      <c r="C19" s="1">
        <f t="shared" ref="C19:C23" si="5">-1.887*B19+158.9</f>
        <v>72.097999999999999</v>
      </c>
      <c r="D19" s="1">
        <f t="shared" ref="D19:D23" si="6">-0.4479*B19+158.9</f>
        <v>138.29660000000001</v>
      </c>
      <c r="E19" s="3">
        <v>107.8</v>
      </c>
      <c r="F19" s="2" t="s">
        <v>4</v>
      </c>
      <c r="G19" s="3">
        <v>97</v>
      </c>
      <c r="H19" s="1">
        <f t="shared" ref="H19:H23" si="7">-1.093*G19+161.9</f>
        <v>55.879000000000005</v>
      </c>
      <c r="I19" s="1">
        <f t="shared" ref="I19:I23" si="8">-0.1612*G19+161.9</f>
        <v>146.2636</v>
      </c>
      <c r="J19" s="3">
        <v>107.8</v>
      </c>
    </row>
    <row r="20" spans="1:10">
      <c r="A20" s="2" t="s">
        <v>5</v>
      </c>
      <c r="B20" s="3">
        <v>0</v>
      </c>
      <c r="C20" s="1">
        <f t="shared" si="5"/>
        <v>158.9</v>
      </c>
      <c r="D20" s="1">
        <f t="shared" si="6"/>
        <v>158.9</v>
      </c>
      <c r="E20" s="3"/>
      <c r="F20" s="2" t="s">
        <v>5</v>
      </c>
      <c r="G20" s="3">
        <v>0</v>
      </c>
      <c r="H20" s="1">
        <f t="shared" si="7"/>
        <v>161.9</v>
      </c>
      <c r="I20" s="1">
        <f t="shared" si="8"/>
        <v>161.9</v>
      </c>
      <c r="J20" s="3">
        <v>160.19999999999999</v>
      </c>
    </row>
    <row r="21" spans="1:10">
      <c r="A21" s="2" t="s">
        <v>2</v>
      </c>
      <c r="B21" s="3">
        <v>35</v>
      </c>
      <c r="C21" s="1">
        <f t="shared" si="5"/>
        <v>92.855000000000004</v>
      </c>
      <c r="D21" s="1">
        <f t="shared" si="6"/>
        <v>143.2235</v>
      </c>
      <c r="E21" s="3">
        <v>133.19999999999999</v>
      </c>
      <c r="F21" s="2" t="s">
        <v>2</v>
      </c>
      <c r="G21" s="3">
        <v>78</v>
      </c>
      <c r="H21" s="1">
        <f t="shared" si="7"/>
        <v>76.646000000000015</v>
      </c>
      <c r="I21" s="1">
        <f t="shared" si="8"/>
        <v>149.32640000000001</v>
      </c>
      <c r="J21" s="3">
        <v>133.19999999999999</v>
      </c>
    </row>
    <row r="22" spans="1:10">
      <c r="A22" s="2" t="s">
        <v>7</v>
      </c>
      <c r="B22" s="3">
        <v>71</v>
      </c>
      <c r="C22" s="1">
        <f t="shared" si="5"/>
        <v>24.923000000000002</v>
      </c>
      <c r="D22" s="1">
        <f t="shared" si="6"/>
        <v>127.09910000000001</v>
      </c>
      <c r="E22" s="3">
        <v>59.51</v>
      </c>
      <c r="F22" s="2" t="s">
        <v>7</v>
      </c>
      <c r="G22" s="3">
        <v>126</v>
      </c>
      <c r="H22" s="1">
        <f t="shared" si="7"/>
        <v>24.182000000000016</v>
      </c>
      <c r="I22" s="1">
        <f t="shared" si="8"/>
        <v>141.58879999999999</v>
      </c>
      <c r="J22" s="3">
        <v>59.51</v>
      </c>
    </row>
    <row r="23" spans="1:10">
      <c r="A23" s="2" t="s">
        <v>9</v>
      </c>
      <c r="B23" s="3">
        <v>39</v>
      </c>
      <c r="C23" s="1">
        <f t="shared" si="5"/>
        <v>85.307000000000002</v>
      </c>
      <c r="D23" s="1">
        <f t="shared" si="6"/>
        <v>141.43190000000001</v>
      </c>
      <c r="E23" s="3">
        <v>127.6</v>
      </c>
      <c r="F23" s="2" t="s">
        <v>9</v>
      </c>
      <c r="G23" s="3">
        <v>74</v>
      </c>
      <c r="H23" s="1">
        <f t="shared" si="7"/>
        <v>81.018000000000001</v>
      </c>
      <c r="I23" s="1">
        <f t="shared" si="8"/>
        <v>149.97120000000001</v>
      </c>
      <c r="J23" s="3">
        <v>127.6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2025-01-09T16:48:09Z</dcterms:created>
  <dcterms:modified xsi:type="dcterms:W3CDTF">2025-01-09T23:51:29Z</dcterms:modified>
</cp:coreProperties>
</file>